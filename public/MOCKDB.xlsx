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Clinic Appointment System\public\"/>
    </mc:Choice>
  </mc:AlternateContent>
  <xr:revisionPtr revIDLastSave="0" documentId="13_ncr:1_{6E442E2E-FF68-48AD-B0C2-6B716BE5160C}" xr6:coauthVersionLast="47" xr6:coauthVersionMax="47" xr10:uidLastSave="{00000000-0000-0000-0000-000000000000}"/>
  <bookViews>
    <workbookView xWindow="-108" yWindow="-108" windowWidth="30936" windowHeight="17496" xr2:uid="{94F2591F-4427-4A9F-B983-90E2E36404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85" i="1" l="1"/>
  <c r="B184" i="1"/>
  <c r="B183" i="1"/>
  <c r="B172" i="1"/>
  <c r="B170" i="1"/>
  <c r="B171" i="1"/>
  <c r="G162" i="1"/>
  <c r="F162" i="1"/>
  <c r="F159" i="1"/>
  <c r="G158" i="1"/>
  <c r="G157" i="1"/>
  <c r="F157" i="1"/>
  <c r="F158" i="1"/>
  <c r="G159" i="1"/>
  <c r="F160" i="1"/>
  <c r="G160" i="1"/>
  <c r="B168" i="1"/>
  <c r="B153" i="1"/>
  <c r="B152" i="1"/>
  <c r="B151" i="1"/>
  <c r="B140" i="1"/>
  <c r="B137" i="1"/>
  <c r="B138" i="1"/>
  <c r="B139" i="1"/>
  <c r="B136" i="1"/>
  <c r="B119" i="1"/>
  <c r="B116" i="1"/>
  <c r="B117" i="1"/>
  <c r="B118" i="1"/>
  <c r="B115" i="1"/>
  <c r="B87" i="1"/>
  <c r="B85" i="1"/>
  <c r="B86" i="1"/>
  <c r="B84" i="1"/>
  <c r="B73" i="1"/>
  <c r="B72" i="1"/>
  <c r="B65" i="1"/>
  <c r="B61" i="1"/>
  <c r="B62" i="1"/>
  <c r="B63" i="1"/>
  <c r="B64" i="1"/>
  <c r="B60" i="1"/>
  <c r="B45" i="1"/>
  <c r="B42" i="1"/>
  <c r="B43" i="1"/>
  <c r="B44" i="1"/>
  <c r="B41" i="1"/>
  <c r="B28" i="1"/>
  <c r="B25" i="1"/>
  <c r="B26" i="1"/>
  <c r="B27" i="1"/>
  <c r="B24" i="1"/>
  <c r="B12" i="1"/>
  <c r="B10" i="1"/>
  <c r="B11" i="1"/>
  <c r="B9" i="1"/>
  <c r="B167" i="1" l="1"/>
  <c r="B169" i="1"/>
  <c r="G95" i="1"/>
  <c r="B101" i="1" s="1"/>
  <c r="G94" i="1"/>
  <c r="B100" i="1" s="1"/>
  <c r="G93" i="1"/>
  <c r="B99" i="1" s="1"/>
  <c r="G92" i="1"/>
  <c r="B98" i="1" s="1"/>
</calcChain>
</file>

<file path=xl/sharedStrings.xml><?xml version="1.0" encoding="utf-8"?>
<sst xmlns="http://schemas.openxmlformats.org/spreadsheetml/2006/main" count="221" uniqueCount="153">
  <si>
    <t>Patient</t>
  </si>
  <si>
    <t>MRN</t>
  </si>
  <si>
    <t>FN</t>
  </si>
  <si>
    <t>MN</t>
  </si>
  <si>
    <t>LN</t>
  </si>
  <si>
    <t>SEX</t>
  </si>
  <si>
    <t>DOB</t>
  </si>
  <si>
    <t>PASSWORD</t>
  </si>
  <si>
    <t>CONTACT ID</t>
  </si>
  <si>
    <t>RELATIONSHIP</t>
  </si>
  <si>
    <t>John</t>
  </si>
  <si>
    <t>Doe</t>
  </si>
  <si>
    <t>Male</t>
  </si>
  <si>
    <t>patient</t>
  </si>
  <si>
    <t>Jane</t>
  </si>
  <si>
    <t>Joe</t>
  </si>
  <si>
    <t>Female</t>
  </si>
  <si>
    <t>Pikalot</t>
  </si>
  <si>
    <t>Ho</t>
  </si>
  <si>
    <t>First</t>
  </si>
  <si>
    <t>Mid</t>
  </si>
  <si>
    <t>Last</t>
  </si>
  <si>
    <t>Address</t>
  </si>
  <si>
    <t>ID</t>
  </si>
  <si>
    <t>Street</t>
  </si>
  <si>
    <t>City</t>
  </si>
  <si>
    <t>State</t>
  </si>
  <si>
    <t>Zip</t>
  </si>
  <si>
    <t>Type</t>
  </si>
  <si>
    <t>1 Washington</t>
  </si>
  <si>
    <t>San Jose</t>
  </si>
  <si>
    <t>CA</t>
  </si>
  <si>
    <t>Primary</t>
  </si>
  <si>
    <t>1880 Tully Rd</t>
  </si>
  <si>
    <t>Alternate</t>
  </si>
  <si>
    <t>121 N. LaSalle Street</t>
  </si>
  <si>
    <t>Chicago</t>
  </si>
  <si>
    <t>IL</t>
  </si>
  <si>
    <t>1990 Prince George Dr</t>
  </si>
  <si>
    <t>1816 Tully Rd</t>
  </si>
  <si>
    <t>Phones</t>
  </si>
  <si>
    <t>(408) 123-4567</t>
  </si>
  <si>
    <t>(669) 121-4545</t>
  </si>
  <si>
    <t>(408) 455-5544</t>
  </si>
  <si>
    <t>(408) 432-1234</t>
  </si>
  <si>
    <t>Phone</t>
  </si>
  <si>
    <t>Secondary</t>
  </si>
  <si>
    <t>(123) 456-789</t>
  </si>
  <si>
    <t>P_Emails</t>
  </si>
  <si>
    <t>Email</t>
  </si>
  <si>
    <t>test1@email.com</t>
  </si>
  <si>
    <t>test2@email.com</t>
  </si>
  <si>
    <t>test3@email.com</t>
  </si>
  <si>
    <t>test4@email.com</t>
  </si>
  <si>
    <t>test5@email.com</t>
  </si>
  <si>
    <t>test6@email.com</t>
  </si>
  <si>
    <t>TYPE</t>
  </si>
  <si>
    <t>Clinics</t>
  </si>
  <si>
    <t>SJSU Clinic</t>
  </si>
  <si>
    <t>1 Washington Sq</t>
  </si>
  <si>
    <t>Engineering Affirmary Care</t>
  </si>
  <si>
    <t>Services</t>
  </si>
  <si>
    <t>Routine Checkup</t>
  </si>
  <si>
    <t>Preventive Care</t>
  </si>
  <si>
    <t>Vaccines and Tests</t>
  </si>
  <si>
    <t>Patient Intake</t>
  </si>
  <si>
    <t>Name</t>
  </si>
  <si>
    <t>Fee</t>
  </si>
  <si>
    <t>Duration</t>
  </si>
  <si>
    <t>Users</t>
  </si>
  <si>
    <t>Tuan-Anh</t>
  </si>
  <si>
    <t>Username</t>
  </si>
  <si>
    <t>provider</t>
  </si>
  <si>
    <t>email</t>
  </si>
  <si>
    <t>provider1</t>
  </si>
  <si>
    <t>provider2</t>
  </si>
  <si>
    <t>provider3</t>
  </si>
  <si>
    <t>provider4</t>
  </si>
  <si>
    <t>Clinic ID</t>
  </si>
  <si>
    <t>Sora</t>
  </si>
  <si>
    <t>Christina</t>
  </si>
  <si>
    <t>Binh</t>
  </si>
  <si>
    <t>Vo</t>
  </si>
  <si>
    <t>Leon</t>
  </si>
  <si>
    <t>Redfield</t>
  </si>
  <si>
    <t>User_Phones</t>
  </si>
  <si>
    <t>(408) 123-1234</t>
  </si>
  <si>
    <t>(669) 121-8989</t>
  </si>
  <si>
    <t>(408) 455-6767</t>
  </si>
  <si>
    <t>(408) 111-1234</t>
  </si>
  <si>
    <t>(123) 456-4567</t>
  </si>
  <si>
    <t>All day</t>
  </si>
  <si>
    <t>Day time</t>
  </si>
  <si>
    <t>Night time</t>
  </si>
  <si>
    <t>user id</t>
  </si>
  <si>
    <t>Staffs</t>
  </si>
  <si>
    <t>id</t>
  </si>
  <si>
    <t>status</t>
  </si>
  <si>
    <t>Active</t>
  </si>
  <si>
    <t>Role</t>
  </si>
  <si>
    <t>Admin</t>
  </si>
  <si>
    <t>Provider Types</t>
  </si>
  <si>
    <t>Family Medicine Physicians</t>
  </si>
  <si>
    <t>MD</t>
  </si>
  <si>
    <t>Nurse Practitioner</t>
  </si>
  <si>
    <t>NP</t>
  </si>
  <si>
    <t>Physician Assistant</t>
  </si>
  <si>
    <t>PA</t>
  </si>
  <si>
    <t>Registered Nurse</t>
  </si>
  <si>
    <t>RN</t>
  </si>
  <si>
    <t>Pediatrician</t>
  </si>
  <si>
    <t>Title</t>
  </si>
  <si>
    <t>Providers</t>
  </si>
  <si>
    <t>license</t>
  </si>
  <si>
    <t>type id</t>
  </si>
  <si>
    <t>a111</t>
  </si>
  <si>
    <t>b123</t>
  </si>
  <si>
    <t>z333</t>
  </si>
  <si>
    <t>Slot</t>
  </si>
  <si>
    <t>start_time</t>
  </si>
  <si>
    <t>end_time</t>
  </si>
  <si>
    <t>provider_id</t>
  </si>
  <si>
    <t>Status</t>
  </si>
  <si>
    <t>Taken</t>
  </si>
  <si>
    <t>Available</t>
  </si>
  <si>
    <t>Appointment</t>
  </si>
  <si>
    <t>slot</t>
  </si>
  <si>
    <t>service</t>
  </si>
  <si>
    <t>mrn</t>
  </si>
  <si>
    <t>Scheduled</t>
  </si>
  <si>
    <t>INSERT INTO Patients(MRN, First_name, Middle_name, Last_name, Sex, DoB, Password_Hash) VALUES</t>
  </si>
  <si>
    <t>2003-04-09</t>
  </si>
  <si>
    <t>2009-10-21</t>
  </si>
  <si>
    <t>2000-01-01</t>
  </si>
  <si>
    <t>1990-01-01</t>
  </si>
  <si>
    <t>INSERT INTO Patient_Addresses(Address_ID, Street, City, State, Zip_code, Type, MRN) VALUES</t>
  </si>
  <si>
    <t>INSERT INTO Patient_Phones(Phone_ID, Phone, Contact_type, MRN) VALUES</t>
  </si>
  <si>
    <t>INSERT INTO Patient_Emails(Email, MRN, Type) VALUES</t>
  </si>
  <si>
    <t>INSERT INTO Clinics(Clinic_ID, Clinic_name, Street, City, State, Zip_code) VALUES</t>
  </si>
  <si>
    <t>INSERT INTO Services(Service_ID, Name, Fee, Duration) VALUES</t>
  </si>
  <si>
    <t>INSERT INTO Users(User_ID, First_name, Middle_name, Last_name, Username, Password_Hash, Email, Clinic_ID) VALUES</t>
  </si>
  <si>
    <t>INSERT INTO User_Phones (Phone_ID, Phone, Contact_time, User_ID) VALUES</t>
  </si>
  <si>
    <t>INSERT INTO Provider_types (ID, Type, Title) VALUES</t>
  </si>
  <si>
    <t>INSERT INTO Providers(User_ID, License_number, Type_ID) VALUES</t>
  </si>
  <si>
    <t>INSERT INTO Availability_Slots(Slot_ID, Start_time, End_time, Provider_ID, Status) VALUES</t>
  </si>
  <si>
    <t>2026-04-30 09:00:00</t>
  </si>
  <si>
    <t>2026-04-30 10:00:00</t>
  </si>
  <si>
    <t>2026-04-03 09:00:00</t>
  </si>
  <si>
    <t>2026-04-30 13:00:00</t>
  </si>
  <si>
    <t>2026-04-30 14:00:00</t>
  </si>
  <si>
    <t>2026-04-30 15:00:00</t>
  </si>
  <si>
    <t>No Show</t>
  </si>
  <si>
    <t>INSERT INTO Appointments(Appt_ID, Appt_Status, Slot_ID, Service_ID, MRN)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</si>
</sst>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" fillId="0" borderId="0" xfId="1"/>
    <xf numFmtId="6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ovider1@mail.com" TargetMode="External"/><Relationship Id="rId3" Type="http://schemas.openxmlformats.org/officeDocument/2006/relationships/hyperlink" Target="mailto:test3@email.com" TargetMode="External"/><Relationship Id="rId7" Type="http://schemas.openxmlformats.org/officeDocument/2006/relationships/hyperlink" Target="mailto:provider1@mail.com" TargetMode="External"/><Relationship Id="rId2" Type="http://schemas.openxmlformats.org/officeDocument/2006/relationships/hyperlink" Target="mailto:test2@email.com" TargetMode="External"/><Relationship Id="rId1" Type="http://schemas.openxmlformats.org/officeDocument/2006/relationships/hyperlink" Target="mailto:test1@email.com" TargetMode="External"/><Relationship Id="rId6" Type="http://schemas.openxmlformats.org/officeDocument/2006/relationships/hyperlink" Target="mailto:test6@email.com" TargetMode="External"/><Relationship Id="rId5" Type="http://schemas.openxmlformats.org/officeDocument/2006/relationships/hyperlink" Target="mailto:test5@email.com" TargetMode="External"/><Relationship Id="rId4" Type="http://schemas.openxmlformats.org/officeDocument/2006/relationships/hyperlink" Target="mailto:test4@e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23CD-6A7B-4413-A921-A1F1EB6189FF}">
  <dimension ref="A1:I185"/>
  <sheetViews>
    <sheetView tabSelected="1" topLeftCell="A163" zoomScale="157" workbookViewId="0">
      <selection activeCell="L176" sqref="L176"/>
    </sheetView>
  </sheetViews>
  <sheetFormatPr defaultColWidth="8.77734375" defaultRowHeight="14.4" x14ac:dyDescent="0.3"/>
  <cols>
    <col min="2" max="3" width="14.77734375" bestFit="1" customWidth="1"/>
    <col min="6" max="6" width="10.33203125" bestFit="1" customWidth="1"/>
  </cols>
  <sheetData>
    <row r="1" spans="1:9" x14ac:dyDescent="0.3">
      <c r="A1" t="s">
        <v>0</v>
      </c>
    </row>
    <row r="2" spans="1:9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3">
      <c r="A3">
        <v>1001</v>
      </c>
      <c r="B3" t="s">
        <v>10</v>
      </c>
      <c r="D3" t="s">
        <v>11</v>
      </c>
      <c r="E3" t="s">
        <v>12</v>
      </c>
      <c r="F3" s="1" t="s">
        <v>131</v>
      </c>
      <c r="G3" t="s">
        <v>13</v>
      </c>
    </row>
    <row r="4" spans="1:9" x14ac:dyDescent="0.3">
      <c r="A4">
        <v>1002</v>
      </c>
      <c r="B4" t="s">
        <v>14</v>
      </c>
      <c r="D4" t="s">
        <v>15</v>
      </c>
      <c r="E4" t="s">
        <v>16</v>
      </c>
      <c r="F4" s="1" t="s">
        <v>132</v>
      </c>
      <c r="G4" t="s">
        <v>13</v>
      </c>
    </row>
    <row r="5" spans="1:9" x14ac:dyDescent="0.3">
      <c r="A5">
        <v>1003</v>
      </c>
      <c r="B5" t="s">
        <v>17</v>
      </c>
      <c r="D5" t="s">
        <v>18</v>
      </c>
      <c r="E5" t="s">
        <v>12</v>
      </c>
      <c r="F5" s="1" t="s">
        <v>133</v>
      </c>
      <c r="G5" t="s">
        <v>13</v>
      </c>
    </row>
    <row r="6" spans="1:9" x14ac:dyDescent="0.3">
      <c r="A6">
        <v>1004</v>
      </c>
      <c r="B6" t="s">
        <v>19</v>
      </c>
      <c r="C6" t="s">
        <v>20</v>
      </c>
      <c r="D6" t="s">
        <v>21</v>
      </c>
      <c r="E6" t="s">
        <v>16</v>
      </c>
      <c r="F6" s="1" t="s">
        <v>134</v>
      </c>
      <c r="G6" t="s">
        <v>13</v>
      </c>
    </row>
    <row r="8" spans="1:9" x14ac:dyDescent="0.3">
      <c r="A8" t="s">
        <v>130</v>
      </c>
    </row>
    <row r="9" spans="1:9" x14ac:dyDescent="0.3">
      <c r="B9" t="str">
        <f>"('"&amp;A3&amp;"', '"&amp;B3&amp;"', '"&amp;C3&amp;"', '"&amp;D3&amp;"','"&amp;E3&amp;"','"&amp;F3&amp;"','"&amp;G3&amp;"'),"</f>
        <v>('1001', 'John', '', 'Doe','Male','2003-04-09','patient'),</v>
      </c>
    </row>
    <row r="10" spans="1:9" x14ac:dyDescent="0.3">
      <c r="B10" t="str">
        <f t="shared" ref="B10:B11" si="0">"('"&amp;A4&amp;"', '"&amp;B4&amp;"', '"&amp;C4&amp;"', '"&amp;D4&amp;"','"&amp;E4&amp;"','"&amp;F4&amp;"','"&amp;G4&amp;"'),"</f>
        <v>('1002', 'Jane', '', 'Joe','Female','2009-10-21','patient'),</v>
      </c>
    </row>
    <row r="11" spans="1:9" x14ac:dyDescent="0.3">
      <c r="B11" t="str">
        <f t="shared" si="0"/>
        <v>('1003', 'Pikalot', '', 'Ho','Male','2000-01-01','patient'),</v>
      </c>
    </row>
    <row r="12" spans="1:9" x14ac:dyDescent="0.3">
      <c r="B12" t="str">
        <f>"('"&amp;A6&amp;"', '"&amp;B6&amp;"', '"&amp;C6&amp;"', '"&amp;D6&amp;"','"&amp;E6&amp;"','"&amp;F6&amp;"','"&amp;G6&amp;"');"</f>
        <v>('1004', 'First', 'Mid', 'Last','Female','1990-01-01','patient');</v>
      </c>
    </row>
    <row r="15" spans="1:9" x14ac:dyDescent="0.3">
      <c r="A15" t="s">
        <v>22</v>
      </c>
    </row>
    <row r="16" spans="1:9" x14ac:dyDescent="0.3">
      <c r="A16" t="s">
        <v>23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1</v>
      </c>
    </row>
    <row r="17" spans="1:7" x14ac:dyDescent="0.3">
      <c r="A17">
        <v>1</v>
      </c>
      <c r="B17" t="s">
        <v>29</v>
      </c>
      <c r="C17" t="s">
        <v>30</v>
      </c>
      <c r="D17" t="s">
        <v>31</v>
      </c>
      <c r="E17">
        <v>95111</v>
      </c>
      <c r="F17" t="s">
        <v>32</v>
      </c>
      <c r="G17">
        <v>1001</v>
      </c>
    </row>
    <row r="18" spans="1:7" x14ac:dyDescent="0.3">
      <c r="A18">
        <v>2</v>
      </c>
      <c r="B18" t="s">
        <v>33</v>
      </c>
      <c r="C18" t="s">
        <v>30</v>
      </c>
      <c r="D18" t="s">
        <v>31</v>
      </c>
      <c r="E18">
        <v>95122</v>
      </c>
      <c r="F18" t="s">
        <v>34</v>
      </c>
      <c r="G18">
        <v>1001</v>
      </c>
    </row>
    <row r="19" spans="1:7" x14ac:dyDescent="0.3">
      <c r="A19">
        <v>3</v>
      </c>
      <c r="B19" t="s">
        <v>35</v>
      </c>
      <c r="C19" t="s">
        <v>36</v>
      </c>
      <c r="D19" t="s">
        <v>37</v>
      </c>
      <c r="E19">
        <v>60602</v>
      </c>
      <c r="F19" t="s">
        <v>32</v>
      </c>
      <c r="G19">
        <v>1002</v>
      </c>
    </row>
    <row r="20" spans="1:7" x14ac:dyDescent="0.3">
      <c r="A20">
        <v>4</v>
      </c>
      <c r="B20" t="s">
        <v>38</v>
      </c>
      <c r="C20" t="s">
        <v>30</v>
      </c>
      <c r="D20" t="s">
        <v>31</v>
      </c>
      <c r="E20">
        <v>95116</v>
      </c>
      <c r="F20" t="s">
        <v>32</v>
      </c>
      <c r="G20">
        <v>1003</v>
      </c>
    </row>
    <row r="21" spans="1:7" x14ac:dyDescent="0.3">
      <c r="A21">
        <v>5</v>
      </c>
      <c r="B21" t="s">
        <v>39</v>
      </c>
      <c r="C21" t="s">
        <v>30</v>
      </c>
      <c r="D21" t="s">
        <v>31</v>
      </c>
      <c r="E21">
        <v>95122</v>
      </c>
      <c r="F21" t="s">
        <v>32</v>
      </c>
      <c r="G21">
        <v>1004</v>
      </c>
    </row>
    <row r="23" spans="1:7" x14ac:dyDescent="0.3">
      <c r="A23" t="s">
        <v>135</v>
      </c>
    </row>
    <row r="24" spans="1:7" x14ac:dyDescent="0.3">
      <c r="B24" t="str">
        <f>"('"&amp;A17&amp;"', '"&amp;B17&amp;"', '"&amp;C17&amp;"', '"&amp;D17&amp;"','"&amp;E17&amp;"','"&amp;F17&amp;"','"&amp;G17&amp;"'),"</f>
        <v>('1', '1 Washington', 'San Jose', 'CA','95111','Primary','1001'),</v>
      </c>
    </row>
    <row r="25" spans="1:7" x14ac:dyDescent="0.3">
      <c r="B25" t="str">
        <f t="shared" ref="B25:B27" si="1">"('"&amp;A18&amp;"', '"&amp;B18&amp;"', '"&amp;C18&amp;"', '"&amp;D18&amp;"','"&amp;E18&amp;"','"&amp;F18&amp;"','"&amp;G18&amp;"'),"</f>
        <v>('2', '1880 Tully Rd', 'San Jose', 'CA','95122','Alternate','1001'),</v>
      </c>
    </row>
    <row r="26" spans="1:7" x14ac:dyDescent="0.3">
      <c r="B26" t="str">
        <f t="shared" si="1"/>
        <v>('3', '121 N. LaSalle Street', 'Chicago', 'IL','60602','Primary','1002'),</v>
      </c>
    </row>
    <row r="27" spans="1:7" x14ac:dyDescent="0.3">
      <c r="B27" t="str">
        <f t="shared" si="1"/>
        <v>('4', '1990 Prince George Dr', 'San Jose', 'CA','95116','Primary','1003'),</v>
      </c>
    </row>
    <row r="28" spans="1:7" x14ac:dyDescent="0.3">
      <c r="B28" t="str">
        <f>"('"&amp;A21&amp;"', '"&amp;B21&amp;"', '"&amp;C21&amp;"', '"&amp;D21&amp;"','"&amp;E21&amp;"','"&amp;F21&amp;"','"&amp;G21&amp;"');"</f>
        <v>('5', '1816 Tully Rd', 'San Jose', 'CA','95122','Primary','1004');</v>
      </c>
    </row>
    <row r="32" spans="1:7" x14ac:dyDescent="0.3">
      <c r="A32" t="s">
        <v>40</v>
      </c>
    </row>
    <row r="33" spans="1:4" x14ac:dyDescent="0.3">
      <c r="A33" t="s">
        <v>23</v>
      </c>
      <c r="B33" t="s">
        <v>45</v>
      </c>
      <c r="C33" t="s">
        <v>28</v>
      </c>
      <c r="D33" t="s">
        <v>1</v>
      </c>
    </row>
    <row r="34" spans="1:4" x14ac:dyDescent="0.3">
      <c r="A34">
        <v>1</v>
      </c>
      <c r="B34" t="s">
        <v>41</v>
      </c>
      <c r="C34" t="s">
        <v>32</v>
      </c>
      <c r="D34">
        <v>1001</v>
      </c>
    </row>
    <row r="35" spans="1:4" x14ac:dyDescent="0.3">
      <c r="A35">
        <v>2</v>
      </c>
      <c r="B35" t="s">
        <v>42</v>
      </c>
      <c r="C35" t="s">
        <v>46</v>
      </c>
      <c r="D35">
        <v>1001</v>
      </c>
    </row>
    <row r="36" spans="1:4" x14ac:dyDescent="0.3">
      <c r="A36">
        <v>3</v>
      </c>
      <c r="B36" t="s">
        <v>43</v>
      </c>
      <c r="C36" t="s">
        <v>32</v>
      </c>
      <c r="D36">
        <v>1002</v>
      </c>
    </row>
    <row r="37" spans="1:4" x14ac:dyDescent="0.3">
      <c r="A37">
        <v>4</v>
      </c>
      <c r="B37" t="s">
        <v>44</v>
      </c>
      <c r="C37" t="s">
        <v>46</v>
      </c>
      <c r="D37">
        <v>1002</v>
      </c>
    </row>
    <row r="38" spans="1:4" x14ac:dyDescent="0.3">
      <c r="A38">
        <v>5</v>
      </c>
      <c r="B38" t="s">
        <v>47</v>
      </c>
      <c r="C38" t="s">
        <v>32</v>
      </c>
      <c r="D38">
        <v>1003</v>
      </c>
    </row>
    <row r="40" spans="1:4" x14ac:dyDescent="0.3">
      <c r="A40" t="s">
        <v>136</v>
      </c>
    </row>
    <row r="41" spans="1:4" x14ac:dyDescent="0.3">
      <c r="B41" t="str">
        <f>"('"&amp;A34&amp;"', '"&amp;B34&amp;"', '"&amp;C34&amp;"', '"&amp;D34&amp;"'),"</f>
        <v>('1', '(408) 123-4567', 'Primary', '1001'),</v>
      </c>
    </row>
    <row r="42" spans="1:4" x14ac:dyDescent="0.3">
      <c r="B42" t="str">
        <f t="shared" ref="B42:B44" si="2">"('"&amp;A35&amp;"', '"&amp;B35&amp;"', '"&amp;C35&amp;"', '"&amp;D35&amp;"'),"</f>
        <v>('2', '(669) 121-4545', 'Secondary', '1001'),</v>
      </c>
    </row>
    <row r="43" spans="1:4" x14ac:dyDescent="0.3">
      <c r="B43" t="str">
        <f t="shared" si="2"/>
        <v>('3', '(408) 455-5544', 'Primary', '1002'),</v>
      </c>
    </row>
    <row r="44" spans="1:4" x14ac:dyDescent="0.3">
      <c r="B44" t="str">
        <f t="shared" si="2"/>
        <v>('4', '(408) 432-1234', 'Secondary', '1002'),</v>
      </c>
    </row>
    <row r="45" spans="1:4" x14ac:dyDescent="0.3">
      <c r="B45" t="str">
        <f>"('"&amp;A38&amp;"', '"&amp;B38&amp;"', '"&amp;C38&amp;"', '"&amp;D38&amp;"');"</f>
        <v>('5', '(123) 456-789', 'Primary', '1003');</v>
      </c>
    </row>
    <row r="50" spans="1:3" x14ac:dyDescent="0.3">
      <c r="A50" t="s">
        <v>48</v>
      </c>
    </row>
    <row r="51" spans="1:3" x14ac:dyDescent="0.3">
      <c r="A51" t="s">
        <v>49</v>
      </c>
      <c r="B51" t="s">
        <v>1</v>
      </c>
      <c r="C51" t="s">
        <v>56</v>
      </c>
    </row>
    <row r="52" spans="1:3" x14ac:dyDescent="0.3">
      <c r="A52" s="2" t="s">
        <v>50</v>
      </c>
      <c r="B52">
        <v>1001</v>
      </c>
      <c r="C52" t="s">
        <v>32</v>
      </c>
    </row>
    <row r="53" spans="1:3" x14ac:dyDescent="0.3">
      <c r="A53" s="2" t="s">
        <v>51</v>
      </c>
      <c r="B53">
        <v>1001</v>
      </c>
      <c r="C53" t="s">
        <v>46</v>
      </c>
    </row>
    <row r="54" spans="1:3" x14ac:dyDescent="0.3">
      <c r="A54" s="2" t="s">
        <v>52</v>
      </c>
      <c r="B54">
        <v>1001</v>
      </c>
      <c r="C54" t="s">
        <v>46</v>
      </c>
    </row>
    <row r="55" spans="1:3" x14ac:dyDescent="0.3">
      <c r="A55" s="2" t="s">
        <v>53</v>
      </c>
      <c r="B55">
        <v>1002</v>
      </c>
      <c r="C55" t="s">
        <v>32</v>
      </c>
    </row>
    <row r="56" spans="1:3" x14ac:dyDescent="0.3">
      <c r="A56" s="2" t="s">
        <v>54</v>
      </c>
      <c r="B56">
        <v>1003</v>
      </c>
      <c r="C56" t="s">
        <v>32</v>
      </c>
    </row>
    <row r="57" spans="1:3" x14ac:dyDescent="0.3">
      <c r="A57" s="2" t="s">
        <v>55</v>
      </c>
      <c r="B57">
        <v>1004</v>
      </c>
      <c r="C57" t="s">
        <v>32</v>
      </c>
    </row>
    <row r="59" spans="1:3" x14ac:dyDescent="0.3">
      <c r="A59" t="s">
        <v>137</v>
      </c>
    </row>
    <row r="60" spans="1:3" x14ac:dyDescent="0.3">
      <c r="B60" t="str">
        <f>"('"&amp;A52&amp;"', '"&amp;B52&amp;"', '"&amp;C52&amp;"'),"</f>
        <v>('test1@email.com', '1001', 'Primary'),</v>
      </c>
    </row>
    <row r="61" spans="1:3" x14ac:dyDescent="0.3">
      <c r="B61" t="str">
        <f t="shared" ref="B61:B64" si="3">"('"&amp;A53&amp;"', '"&amp;B53&amp;"', '"&amp;C53&amp;"'),"</f>
        <v>('test2@email.com', '1001', 'Secondary'),</v>
      </c>
    </row>
    <row r="62" spans="1:3" x14ac:dyDescent="0.3">
      <c r="B62" t="str">
        <f t="shared" si="3"/>
        <v>('test3@email.com', '1001', 'Secondary'),</v>
      </c>
    </row>
    <row r="63" spans="1:3" x14ac:dyDescent="0.3">
      <c r="B63" t="str">
        <f t="shared" si="3"/>
        <v>('test4@email.com', '1002', 'Primary'),</v>
      </c>
    </row>
    <row r="64" spans="1:3" x14ac:dyDescent="0.3">
      <c r="B64" t="str">
        <f t="shared" si="3"/>
        <v>('test5@email.com', '1003', 'Primary'),</v>
      </c>
    </row>
    <row r="65" spans="1:6" x14ac:dyDescent="0.3">
      <c r="B65" t="str">
        <f>"('"&amp;A57&amp;"', '"&amp;B57&amp;"', '"&amp;C57&amp;"');"</f>
        <v>('test6@email.com', '1004', 'Primary');</v>
      </c>
    </row>
    <row r="67" spans="1:6" x14ac:dyDescent="0.3">
      <c r="A67" t="s">
        <v>57</v>
      </c>
    </row>
    <row r="68" spans="1:6" x14ac:dyDescent="0.3">
      <c r="A68">
        <v>1</v>
      </c>
      <c r="B68" t="s">
        <v>58</v>
      </c>
      <c r="C68" t="s">
        <v>59</v>
      </c>
      <c r="D68" t="s">
        <v>30</v>
      </c>
      <c r="E68" t="s">
        <v>31</v>
      </c>
      <c r="F68">
        <v>95192</v>
      </c>
    </row>
    <row r="69" spans="1:6" x14ac:dyDescent="0.3">
      <c r="A69">
        <v>2</v>
      </c>
      <c r="B69" t="s">
        <v>60</v>
      </c>
      <c r="C69" t="s">
        <v>39</v>
      </c>
      <c r="D69" t="s">
        <v>30</v>
      </c>
      <c r="E69" t="s">
        <v>31</v>
      </c>
      <c r="F69">
        <v>95122</v>
      </c>
    </row>
    <row r="71" spans="1:6" x14ac:dyDescent="0.3">
      <c r="A71" t="s">
        <v>138</v>
      </c>
    </row>
    <row r="72" spans="1:6" x14ac:dyDescent="0.3">
      <c r="B72" t="str">
        <f>"('"&amp;A68&amp;"', '"&amp;B68&amp;"', '"&amp;C68&amp;"','"&amp;D68&amp;"','"&amp;E68&amp;"','"&amp;F68&amp;"'),"</f>
        <v>('1', 'SJSU Clinic', '1 Washington Sq','San Jose','CA','95192'),</v>
      </c>
    </row>
    <row r="73" spans="1:6" x14ac:dyDescent="0.3">
      <c r="B73" t="str">
        <f>"('"&amp;A69&amp;"', '"&amp;B69&amp;"', '"&amp;C69&amp;"','"&amp;D69&amp;"','"&amp;E69&amp;"','"&amp;F69&amp;"');"</f>
        <v>('2', 'Engineering Affirmary Care', '1816 Tully Rd','San Jose','CA','95122');</v>
      </c>
    </row>
    <row r="76" spans="1:6" x14ac:dyDescent="0.3">
      <c r="A76" t="s">
        <v>61</v>
      </c>
    </row>
    <row r="77" spans="1:6" x14ac:dyDescent="0.3">
      <c r="A77" t="s">
        <v>23</v>
      </c>
      <c r="B77" t="s">
        <v>66</v>
      </c>
      <c r="C77" t="s">
        <v>67</v>
      </c>
      <c r="D77" t="s">
        <v>68</v>
      </c>
    </row>
    <row r="78" spans="1:6" x14ac:dyDescent="0.3">
      <c r="A78">
        <v>1</v>
      </c>
      <c r="B78" t="s">
        <v>62</v>
      </c>
      <c r="C78" s="3">
        <v>150</v>
      </c>
      <c r="D78">
        <v>1</v>
      </c>
    </row>
    <row r="79" spans="1:6" x14ac:dyDescent="0.3">
      <c r="A79">
        <v>2</v>
      </c>
      <c r="B79" t="s">
        <v>63</v>
      </c>
      <c r="C79" s="3">
        <v>250</v>
      </c>
      <c r="D79">
        <v>2</v>
      </c>
    </row>
    <row r="80" spans="1:6" x14ac:dyDescent="0.3">
      <c r="A80">
        <v>3</v>
      </c>
      <c r="B80" t="s">
        <v>64</v>
      </c>
      <c r="C80" s="3">
        <v>100</v>
      </c>
      <c r="D80">
        <v>1</v>
      </c>
    </row>
    <row r="81" spans="1:8" x14ac:dyDescent="0.3">
      <c r="A81">
        <v>4</v>
      </c>
      <c r="B81" t="s">
        <v>65</v>
      </c>
      <c r="C81" s="3">
        <v>500</v>
      </c>
      <c r="D81">
        <v>3</v>
      </c>
    </row>
    <row r="83" spans="1:8" x14ac:dyDescent="0.3">
      <c r="A83" t="s">
        <v>139</v>
      </c>
    </row>
    <row r="84" spans="1:8" x14ac:dyDescent="0.3">
      <c r="B84" t="str">
        <f>"('"&amp;A78&amp;"', '"&amp;B78&amp;"', '"&amp;C78&amp;"','"&amp;D78&amp;"'),"</f>
        <v>('1', 'Routine Checkup', '150','1'),</v>
      </c>
    </row>
    <row r="85" spans="1:8" x14ac:dyDescent="0.3">
      <c r="B85" t="str">
        <f t="shared" ref="B85:B86" si="4">"('"&amp;A79&amp;"', '"&amp;B79&amp;"', '"&amp;C79&amp;"','"&amp;D79&amp;"'),"</f>
        <v>('2', 'Preventive Care', '250','2'),</v>
      </c>
    </row>
    <row r="86" spans="1:8" x14ac:dyDescent="0.3">
      <c r="B86" t="str">
        <f t="shared" si="4"/>
        <v>('3', 'Vaccines and Tests', '100','1'),</v>
      </c>
    </row>
    <row r="87" spans="1:8" x14ac:dyDescent="0.3">
      <c r="B87" t="str">
        <f>"('"&amp;A81&amp;"', '"&amp;B81&amp;"', '"&amp;C81&amp;"','"&amp;D81&amp;"');"</f>
        <v>('4', 'Patient Intake', '500','3');</v>
      </c>
    </row>
    <row r="90" spans="1:8" x14ac:dyDescent="0.3">
      <c r="A90" t="s">
        <v>69</v>
      </c>
    </row>
    <row r="91" spans="1:8" x14ac:dyDescent="0.3">
      <c r="A91" t="s">
        <v>23</v>
      </c>
      <c r="B91" t="s">
        <v>2</v>
      </c>
      <c r="C91" t="s">
        <v>3</v>
      </c>
      <c r="D91" t="s">
        <v>4</v>
      </c>
      <c r="E91" t="s">
        <v>71</v>
      </c>
      <c r="F91" t="s">
        <v>7</v>
      </c>
      <c r="G91" t="s">
        <v>73</v>
      </c>
      <c r="H91" t="s">
        <v>78</v>
      </c>
    </row>
    <row r="92" spans="1:8" x14ac:dyDescent="0.3">
      <c r="A92">
        <v>2001</v>
      </c>
      <c r="B92" t="s">
        <v>70</v>
      </c>
      <c r="D92" t="s">
        <v>18</v>
      </c>
      <c r="E92" t="s">
        <v>74</v>
      </c>
      <c r="F92" t="s">
        <v>72</v>
      </c>
      <c r="G92" s="2" t="str">
        <f>E92&amp;"@gmail.com"</f>
        <v>provider1@gmail.com</v>
      </c>
      <c r="H92">
        <v>1</v>
      </c>
    </row>
    <row r="93" spans="1:8" x14ac:dyDescent="0.3">
      <c r="A93">
        <v>2002</v>
      </c>
      <c r="B93" t="s">
        <v>79</v>
      </c>
      <c r="D93" t="s">
        <v>18</v>
      </c>
      <c r="E93" t="s">
        <v>75</v>
      </c>
      <c r="F93" t="s">
        <v>72</v>
      </c>
      <c r="G93" s="2" t="str">
        <f t="shared" ref="G93:G95" si="5">E93&amp;"@gmail.com"</f>
        <v>provider2@gmail.com</v>
      </c>
      <c r="H93">
        <v>2</v>
      </c>
    </row>
    <row r="94" spans="1:8" x14ac:dyDescent="0.3">
      <c r="A94">
        <v>2003</v>
      </c>
      <c r="B94" t="s">
        <v>80</v>
      </c>
      <c r="C94" t="s">
        <v>81</v>
      </c>
      <c r="D94" t="s">
        <v>82</v>
      </c>
      <c r="E94" t="s">
        <v>76</v>
      </c>
      <c r="F94" t="s">
        <v>72</v>
      </c>
      <c r="G94" s="2" t="str">
        <f t="shared" si="5"/>
        <v>provider3@gmail.com</v>
      </c>
      <c r="H94">
        <v>1</v>
      </c>
    </row>
    <row r="95" spans="1:8" x14ac:dyDescent="0.3">
      <c r="A95">
        <v>2004</v>
      </c>
      <c r="B95" t="s">
        <v>83</v>
      </c>
      <c r="D95" t="s">
        <v>84</v>
      </c>
      <c r="E95" t="s">
        <v>77</v>
      </c>
      <c r="F95" t="s">
        <v>72</v>
      </c>
      <c r="G95" s="2" t="str">
        <f t="shared" si="5"/>
        <v>provider4@gmail.com</v>
      </c>
      <c r="H95">
        <v>2</v>
      </c>
    </row>
    <row r="97" spans="1:4" x14ac:dyDescent="0.3">
      <c r="A97" t="s">
        <v>140</v>
      </c>
    </row>
    <row r="98" spans="1:4" x14ac:dyDescent="0.3">
      <c r="B98" t="str">
        <f>"('"&amp;A92&amp;"', '"&amp;B92&amp;"', '"&amp;C92&amp;"','"&amp;D92&amp;"','"&amp;E92&amp;"', '"&amp;F92&amp;"', '"&amp;G92&amp;"','"&amp;H92&amp;"'),"</f>
        <v>('2001', 'Tuan-Anh', '','Ho','provider1', 'provider', 'provider1@gmail.com','1'),</v>
      </c>
    </row>
    <row r="99" spans="1:4" x14ac:dyDescent="0.3">
      <c r="B99" t="str">
        <f t="shared" ref="B99:B100" si="6">"('"&amp;A93&amp;"', '"&amp;B93&amp;"', '"&amp;C93&amp;"','"&amp;D93&amp;"','"&amp;E93&amp;"', '"&amp;F93&amp;"', '"&amp;G93&amp;"','"&amp;H93&amp;"'),"</f>
        <v>('2002', 'Sora', '','Ho','provider2', 'provider', 'provider2@gmail.com','2'),</v>
      </c>
    </row>
    <row r="100" spans="1:4" x14ac:dyDescent="0.3">
      <c r="B100" t="str">
        <f t="shared" si="6"/>
        <v>('2003', 'Christina', 'Binh','Vo','provider3', 'provider', 'provider3@gmail.com','1'),</v>
      </c>
    </row>
    <row r="101" spans="1:4" x14ac:dyDescent="0.3">
      <c r="B101" t="str">
        <f>"('"&amp;A95&amp;"', '"&amp;B95&amp;"', '"&amp;C95&amp;"','"&amp;D95&amp;"','"&amp;E95&amp;"', '"&amp;F95&amp;"', '"&amp;G95&amp;"','"&amp;H95&amp;"');"</f>
        <v>('2004', 'Leon', '','Redfield','provider4', 'provider', 'provider4@gmail.com','2');</v>
      </c>
    </row>
    <row r="106" spans="1:4" x14ac:dyDescent="0.3">
      <c r="A106" t="s">
        <v>85</v>
      </c>
    </row>
    <row r="107" spans="1:4" x14ac:dyDescent="0.3">
      <c r="A107" t="s">
        <v>23</v>
      </c>
      <c r="B107" t="s">
        <v>45</v>
      </c>
      <c r="C107" t="s">
        <v>28</v>
      </c>
      <c r="D107" t="s">
        <v>94</v>
      </c>
    </row>
    <row r="108" spans="1:4" x14ac:dyDescent="0.3">
      <c r="A108">
        <v>1</v>
      </c>
      <c r="B108" t="s">
        <v>86</v>
      </c>
      <c r="C108" t="s">
        <v>91</v>
      </c>
      <c r="D108">
        <v>2001</v>
      </c>
    </row>
    <row r="109" spans="1:4" x14ac:dyDescent="0.3">
      <c r="A109">
        <v>2</v>
      </c>
      <c r="B109" t="s">
        <v>87</v>
      </c>
      <c r="C109" t="s">
        <v>92</v>
      </c>
      <c r="D109">
        <v>2002</v>
      </c>
    </row>
    <row r="110" spans="1:4" x14ac:dyDescent="0.3">
      <c r="A110">
        <v>3</v>
      </c>
      <c r="B110" t="s">
        <v>88</v>
      </c>
      <c r="C110" t="s">
        <v>93</v>
      </c>
      <c r="D110">
        <v>2002</v>
      </c>
    </row>
    <row r="111" spans="1:4" x14ac:dyDescent="0.3">
      <c r="A111">
        <v>4</v>
      </c>
      <c r="B111" t="s">
        <v>89</v>
      </c>
      <c r="C111" t="s">
        <v>92</v>
      </c>
      <c r="D111">
        <v>2003</v>
      </c>
    </row>
    <row r="112" spans="1:4" x14ac:dyDescent="0.3">
      <c r="A112">
        <v>5</v>
      </c>
      <c r="B112" t="s">
        <v>90</v>
      </c>
      <c r="C112" t="s">
        <v>91</v>
      </c>
      <c r="D112">
        <v>2004</v>
      </c>
    </row>
    <row r="114" spans="1:3" x14ac:dyDescent="0.3">
      <c r="A114" t="s">
        <v>141</v>
      </c>
    </row>
    <row r="115" spans="1:3" x14ac:dyDescent="0.3">
      <c r="B115" t="str">
        <f>"('"&amp;A108&amp;"', '"&amp;B108&amp;"', '"&amp;C108&amp;"','"&amp;D108&amp;"'),"</f>
        <v>('1', '(408) 123-1234', 'All day','2001'),</v>
      </c>
    </row>
    <row r="116" spans="1:3" x14ac:dyDescent="0.3">
      <c r="B116" t="str">
        <f t="shared" ref="B116:B118" si="7">"('"&amp;A109&amp;"', '"&amp;B109&amp;"', '"&amp;C109&amp;"','"&amp;D109&amp;"'),"</f>
        <v>('2', '(669) 121-8989', 'Day time','2002'),</v>
      </c>
    </row>
    <row r="117" spans="1:3" x14ac:dyDescent="0.3">
      <c r="B117" t="str">
        <f t="shared" si="7"/>
        <v>('3', '(408) 455-6767', 'Night time','2002'),</v>
      </c>
    </row>
    <row r="118" spans="1:3" x14ac:dyDescent="0.3">
      <c r="B118" t="str">
        <f t="shared" si="7"/>
        <v>('4', '(408) 111-1234', 'Day time','2003'),</v>
      </c>
    </row>
    <row r="119" spans="1:3" x14ac:dyDescent="0.3">
      <c r="B119" t="str">
        <f>"('"&amp;A112&amp;"', '"&amp;B112&amp;"', '"&amp;C112&amp;"','"&amp;D112&amp;"');"</f>
        <v>('5', '(123) 456-4567', 'All day','2004');</v>
      </c>
    </row>
    <row r="121" spans="1:3" x14ac:dyDescent="0.3">
      <c r="A121" t="s">
        <v>95</v>
      </c>
    </row>
    <row r="122" spans="1:3" x14ac:dyDescent="0.3">
      <c r="A122" t="s">
        <v>96</v>
      </c>
      <c r="B122" t="s">
        <v>97</v>
      </c>
      <c r="C122" t="s">
        <v>99</v>
      </c>
    </row>
    <row r="123" spans="1:3" x14ac:dyDescent="0.3">
      <c r="A123">
        <v>2003</v>
      </c>
      <c r="B123" t="s">
        <v>98</v>
      </c>
      <c r="C123" t="s">
        <v>100</v>
      </c>
    </row>
    <row r="127" spans="1:3" x14ac:dyDescent="0.3">
      <c r="A127" t="s">
        <v>101</v>
      </c>
    </row>
    <row r="128" spans="1:3" x14ac:dyDescent="0.3">
      <c r="A128" t="s">
        <v>23</v>
      </c>
      <c r="B128" t="s">
        <v>56</v>
      </c>
      <c r="C128" t="s">
        <v>111</v>
      </c>
    </row>
    <row r="129" spans="1:3" x14ac:dyDescent="0.3">
      <c r="A129">
        <v>1</v>
      </c>
      <c r="B129" t="s">
        <v>102</v>
      </c>
      <c r="C129" t="s">
        <v>103</v>
      </c>
    </row>
    <row r="130" spans="1:3" x14ac:dyDescent="0.3">
      <c r="A130">
        <v>2</v>
      </c>
      <c r="B130" t="s">
        <v>104</v>
      </c>
      <c r="C130" t="s">
        <v>105</v>
      </c>
    </row>
    <row r="131" spans="1:3" x14ac:dyDescent="0.3">
      <c r="A131">
        <v>3</v>
      </c>
      <c r="B131" t="s">
        <v>106</v>
      </c>
      <c r="C131" t="s">
        <v>107</v>
      </c>
    </row>
    <row r="132" spans="1:3" x14ac:dyDescent="0.3">
      <c r="A132">
        <v>4</v>
      </c>
      <c r="B132" t="s">
        <v>108</v>
      </c>
      <c r="C132" t="s">
        <v>109</v>
      </c>
    </row>
    <row r="133" spans="1:3" x14ac:dyDescent="0.3">
      <c r="A133">
        <v>5</v>
      </c>
      <c r="B133" t="s">
        <v>110</v>
      </c>
      <c r="C133" t="s">
        <v>103</v>
      </c>
    </row>
    <row r="135" spans="1:3" x14ac:dyDescent="0.3">
      <c r="A135" t="s">
        <v>142</v>
      </c>
    </row>
    <row r="136" spans="1:3" x14ac:dyDescent="0.3">
      <c r="B136" t="str">
        <f>"('"&amp;A129&amp;"', '"&amp;B129&amp;"', '"&amp;C129&amp;"'),"</f>
        <v>('1', 'Family Medicine Physicians', 'MD'),</v>
      </c>
    </row>
    <row r="137" spans="1:3" x14ac:dyDescent="0.3">
      <c r="B137" t="str">
        <f t="shared" ref="B137:B139" si="8">"('"&amp;A130&amp;"', '"&amp;B130&amp;"', '"&amp;C130&amp;"'),"</f>
        <v>('2', 'Nurse Practitioner', 'NP'),</v>
      </c>
    </row>
    <row r="138" spans="1:3" x14ac:dyDescent="0.3">
      <c r="B138" t="str">
        <f t="shared" si="8"/>
        <v>('3', 'Physician Assistant', 'PA'),</v>
      </c>
    </row>
    <row r="139" spans="1:3" x14ac:dyDescent="0.3">
      <c r="B139" t="str">
        <f t="shared" si="8"/>
        <v>('4', 'Registered Nurse', 'RN'),</v>
      </c>
    </row>
    <row r="140" spans="1:3" x14ac:dyDescent="0.3">
      <c r="B140" t="str">
        <f>"('"&amp;A133&amp;"', '"&amp;B133&amp;"', '"&amp;C133&amp;"');"</f>
        <v>('5', 'Pediatrician', 'MD');</v>
      </c>
    </row>
    <row r="144" spans="1:3" x14ac:dyDescent="0.3">
      <c r="A144" t="s">
        <v>112</v>
      </c>
    </row>
    <row r="145" spans="1:7" x14ac:dyDescent="0.3">
      <c r="A145" t="s">
        <v>96</v>
      </c>
      <c r="B145" t="s">
        <v>113</v>
      </c>
      <c r="C145" t="s">
        <v>114</v>
      </c>
    </row>
    <row r="146" spans="1:7" x14ac:dyDescent="0.3">
      <c r="A146">
        <v>2001</v>
      </c>
      <c r="B146" t="s">
        <v>115</v>
      </c>
      <c r="C146">
        <v>1</v>
      </c>
    </row>
    <row r="147" spans="1:7" x14ac:dyDescent="0.3">
      <c r="A147">
        <v>2002</v>
      </c>
      <c r="B147" t="s">
        <v>116</v>
      </c>
      <c r="C147">
        <v>5</v>
      </c>
    </row>
    <row r="148" spans="1:7" x14ac:dyDescent="0.3">
      <c r="A148">
        <v>2004</v>
      </c>
      <c r="B148" t="s">
        <v>117</v>
      </c>
      <c r="C148">
        <v>2</v>
      </c>
    </row>
    <row r="150" spans="1:7" x14ac:dyDescent="0.3">
      <c r="A150" t="s">
        <v>143</v>
      </c>
    </row>
    <row r="151" spans="1:7" x14ac:dyDescent="0.3">
      <c r="B151" t="str">
        <f>"('"&amp;A146&amp;"', '"&amp;B146&amp;"', '"&amp;C146&amp;"'),"</f>
        <v>('2001', 'a111', '1'),</v>
      </c>
    </row>
    <row r="152" spans="1:7" x14ac:dyDescent="0.3">
      <c r="B152" t="str">
        <f t="shared" ref="B152" si="9">"('"&amp;A147&amp;"', '"&amp;B147&amp;"', '"&amp;C147&amp;"'),"</f>
        <v>('2002', 'b123', '5'),</v>
      </c>
    </row>
    <row r="153" spans="1:7" x14ac:dyDescent="0.3">
      <c r="B153" t="str">
        <f>"('"&amp;A148&amp;"', '"&amp;B148&amp;"', '"&amp;C148&amp;"');"</f>
        <v>('2004', 'z333', '2');</v>
      </c>
    </row>
    <row r="155" spans="1:7" x14ac:dyDescent="0.3">
      <c r="A155" t="s">
        <v>118</v>
      </c>
    </row>
    <row r="156" spans="1:7" x14ac:dyDescent="0.3">
      <c r="A156" t="s">
        <v>96</v>
      </c>
      <c r="B156" t="s">
        <v>119</v>
      </c>
      <c r="C156" t="s">
        <v>120</v>
      </c>
      <c r="D156" t="s">
        <v>121</v>
      </c>
      <c r="E156" t="s">
        <v>122</v>
      </c>
    </row>
    <row r="157" spans="1:7" x14ac:dyDescent="0.3">
      <c r="A157">
        <v>30001</v>
      </c>
      <c r="B157" s="4" t="s">
        <v>145</v>
      </c>
      <c r="C157" s="4" t="s">
        <v>146</v>
      </c>
      <c r="D157">
        <v>2001</v>
      </c>
      <c r="E157" t="s">
        <v>123</v>
      </c>
      <c r="F157" t="str">
        <f>TEXT(B157, "YYYY-MM-DD HH:MM:SS")</f>
        <v>2026-04-30 09:00:00</v>
      </c>
      <c r="G157" t="str">
        <f>TEXT(C157, "YYYY-MM-DD HH:MM:SS")</f>
        <v>2026-04-30 10:00:00</v>
      </c>
    </row>
    <row r="158" spans="1:7" x14ac:dyDescent="0.3">
      <c r="A158">
        <v>30002</v>
      </c>
      <c r="B158" s="4" t="s">
        <v>147</v>
      </c>
      <c r="C158" s="4" t="s">
        <v>147</v>
      </c>
      <c r="D158">
        <v>2004</v>
      </c>
      <c r="E158" t="s">
        <v>124</v>
      </c>
      <c r="F158" t="str">
        <f t="shared" ref="F158:F160" si="10">TEXT(B158, "YYYY-MM-DD HH:MM:SS")</f>
        <v>2026-04-03 09:00:00</v>
      </c>
      <c r="G158" t="str">
        <f t="shared" ref="G158:G160" si="11">TEXT(C158, "YYYY-MM-DD HH:MM:SS")</f>
        <v>2026-04-03 09:00:00</v>
      </c>
    </row>
    <row r="159" spans="1:7" x14ac:dyDescent="0.3">
      <c r="A159">
        <v>30003</v>
      </c>
      <c r="B159" s="4" t="s">
        <v>148</v>
      </c>
      <c r="C159" s="4" t="s">
        <v>149</v>
      </c>
      <c r="D159">
        <v>2001</v>
      </c>
      <c r="E159" t="s">
        <v>124</v>
      </c>
      <c r="F159" t="str">
        <f t="shared" si="10"/>
        <v>2026-04-30 13:00:00</v>
      </c>
      <c r="G159" t="str">
        <f t="shared" si="11"/>
        <v>2026-04-30 14:00:00</v>
      </c>
    </row>
    <row r="160" spans="1:7" x14ac:dyDescent="0.3">
      <c r="A160">
        <v>30004</v>
      </c>
      <c r="B160" s="4" t="s">
        <v>148</v>
      </c>
      <c r="C160" s="4" t="s">
        <v>149</v>
      </c>
      <c r="D160">
        <v>2002</v>
      </c>
      <c r="E160" t="s">
        <v>124</v>
      </c>
      <c r="F160" t="str">
        <f t="shared" si="10"/>
        <v>2026-04-30 13:00:00</v>
      </c>
      <c r="G160" t="str">
        <f t="shared" si="11"/>
        <v>2026-04-30 14:00:00</v>
      </c>
    </row>
    <row r="161" spans="1:7" x14ac:dyDescent="0.3">
      <c r="A161">
        <v>30005</v>
      </c>
      <c r="B161" s="4" t="s">
        <v>147</v>
      </c>
      <c r="C161" s="4" t="s">
        <v>147</v>
      </c>
      <c r="D161">
        <v>2004</v>
      </c>
      <c r="E161" t="s">
        <v>123</v>
      </c>
    </row>
    <row r="162" spans="1:7" x14ac:dyDescent="0.3">
      <c r="A162">
        <v>30006</v>
      </c>
      <c r="B162" s="4" t="s">
        <v>149</v>
      </c>
      <c r="C162" s="4" t="s">
        <v>150</v>
      </c>
      <c r="D162">
        <v>2001</v>
      </c>
      <c r="E162" t="s">
        <v>123</v>
      </c>
      <c r="F162" t="str">
        <f t="shared" ref="F162" si="12">TEXT(B162, "YYYY-MM-DD HH:MM:SS")</f>
        <v>2026-04-30 14:00:00</v>
      </c>
      <c r="G162" t="str">
        <f t="shared" ref="G162" si="13">TEXT(C162, "YYYY-MM-DD HH:MM:SS")</f>
        <v>2026-04-30 15:00:00</v>
      </c>
    </row>
    <row r="163" spans="1:7" x14ac:dyDescent="0.3">
      <c r="B163" s="4"/>
      <c r="C163" s="4"/>
    </row>
    <row r="164" spans="1:7" x14ac:dyDescent="0.3">
      <c r="B164" s="4"/>
      <c r="C164" s="4"/>
    </row>
    <row r="166" spans="1:7" x14ac:dyDescent="0.3">
      <c r="A166" t="s">
        <v>144</v>
      </c>
    </row>
    <row r="167" spans="1:7" x14ac:dyDescent="0.3">
      <c r="B167" t="str">
        <f>"('"&amp;A157&amp;"', '"&amp;B157&amp;"', '"&amp;C157&amp;"','"&amp;D157&amp;"', '"&amp;E157&amp;"'),"</f>
        <v>('30001', '2026-04-30 09:00:00', '2026-04-30 10:00:00','2001', 'Taken'),</v>
      </c>
    </row>
    <row r="168" spans="1:7" x14ac:dyDescent="0.3">
      <c r="B168" t="str">
        <f t="shared" ref="B168:B174" si="14">"('"&amp;A158&amp;"', '"&amp;B158&amp;"', '"&amp;C158&amp;"','"&amp;D158&amp;"', '"&amp;E158&amp;"'),"</f>
        <v>('30002', '2026-04-03 09:00:00', '2026-04-03 09:00:00','2004', 'Available'),</v>
      </c>
    </row>
    <row r="169" spans="1:7" x14ac:dyDescent="0.3">
      <c r="B169" t="str">
        <f t="shared" si="14"/>
        <v>('30003', '2026-04-30 13:00:00', '2026-04-30 14:00:00','2001', 'Available'),</v>
      </c>
    </row>
    <row r="170" spans="1:7" x14ac:dyDescent="0.3">
      <c r="B170" t="str">
        <f t="shared" si="14"/>
        <v>('30004', '2026-04-30 13:00:00', '2026-04-30 14:00:00','2002', 'Available'),</v>
      </c>
    </row>
    <row r="171" spans="1:7" x14ac:dyDescent="0.3">
      <c r="B171" t="str">
        <f t="shared" si="14"/>
        <v>('30005', '2026-04-03 09:00:00', '2026-04-03 09:00:00','2004', 'Taken'),</v>
      </c>
    </row>
    <row r="172" spans="1:7" x14ac:dyDescent="0.3">
      <c r="B172" t="str">
        <f>"('"&amp;A162&amp;"', '"&amp;B162&amp;"', '"&amp;C162&amp;"','"&amp;D162&amp;"', '"&amp;E162&amp;"');"</f>
        <v>('30006', '2026-04-30 14:00:00', '2026-04-30 15:00:00','2001', 'Taken');</v>
      </c>
    </row>
    <row r="176" spans="1:7" x14ac:dyDescent="0.3">
      <c r="A176" t="s">
        <v>125</v>
      </c>
    </row>
    <row r="177" spans="1:5" x14ac:dyDescent="0.3">
      <c r="A177" t="s">
        <v>96</v>
      </c>
      <c r="B177" t="s">
        <v>97</v>
      </c>
      <c r="C177" t="s">
        <v>126</v>
      </c>
      <c r="D177" t="s">
        <v>127</v>
      </c>
      <c r="E177" t="s">
        <v>128</v>
      </c>
    </row>
    <row r="178" spans="1:5" x14ac:dyDescent="0.3">
      <c r="A178">
        <v>101</v>
      </c>
      <c r="B178" t="s">
        <v>129</v>
      </c>
      <c r="C178">
        <v>30001</v>
      </c>
      <c r="D178">
        <v>1</v>
      </c>
      <c r="E178">
        <v>1001</v>
      </c>
    </row>
    <row r="179" spans="1:5" x14ac:dyDescent="0.3">
      <c r="A179">
        <v>102</v>
      </c>
      <c r="B179" t="s">
        <v>129</v>
      </c>
      <c r="C179">
        <v>30005</v>
      </c>
      <c r="D179">
        <v>2</v>
      </c>
      <c r="E179">
        <v>1002</v>
      </c>
    </row>
    <row r="180" spans="1:5" x14ac:dyDescent="0.3">
      <c r="A180">
        <v>103</v>
      </c>
      <c r="B180" t="s">
        <v>151</v>
      </c>
      <c r="C180">
        <v>30006</v>
      </c>
      <c r="D180">
        <v>3</v>
      </c>
      <c r="E180">
        <v>1001</v>
      </c>
    </row>
    <row r="182" spans="1:5" x14ac:dyDescent="0.3">
      <c r="A182" t="s">
        <v>152</v>
      </c>
    </row>
    <row r="183" spans="1:5" x14ac:dyDescent="0.3">
      <c r="B183" t="str">
        <f>"('"&amp;A178&amp;"', '"&amp;B178&amp;"', '"&amp;C178&amp;"','"&amp;D178&amp;"', '"&amp;E178&amp;"'),"</f>
        <v>('101', 'Scheduled', '30001','1', '1001'),</v>
      </c>
    </row>
    <row r="184" spans="1:5" x14ac:dyDescent="0.3">
      <c r="B184" t="str">
        <f t="shared" ref="B184:B186" si="15">"('"&amp;A179&amp;"', '"&amp;B179&amp;"', '"&amp;C179&amp;"','"&amp;D179&amp;"', '"&amp;E179&amp;"'),"</f>
        <v>('102', 'Scheduled', '30005','2', '1002'),</v>
      </c>
    </row>
    <row r="185" spans="1:5" x14ac:dyDescent="0.3">
      <c r="B185" t="str">
        <f>"('"&amp;A180&amp;"', '"&amp;B180&amp;"', '"&amp;C180&amp;"','"&amp;D180&amp;"', '"&amp;E180&amp;"');"</f>
        <v>('103', 'No Show', '30006','3', '1001');</v>
      </c>
    </row>
  </sheetData>
  <phoneticPr fontId="2" type="noConversion"/>
  <hyperlinks>
    <hyperlink ref="A52" r:id="rId1" xr:uid="{38B2835B-A8EE-41B3-AF51-7015EC74254C}"/>
    <hyperlink ref="A53" r:id="rId2" xr:uid="{74288230-4B11-4820-961F-9077FF7017E3}"/>
    <hyperlink ref="A54" r:id="rId3" xr:uid="{5A779581-5CAF-4085-823B-7AA23A223E54}"/>
    <hyperlink ref="A55" r:id="rId4" xr:uid="{9B3D1A89-4455-4342-A78B-5899A03F579B}"/>
    <hyperlink ref="A56" r:id="rId5" xr:uid="{269B2741-92FF-42B8-8F2B-45D4D9676F1A}"/>
    <hyperlink ref="A57" r:id="rId6" xr:uid="{BA7A5A9F-D91B-45DE-9FF7-72F055124311}"/>
    <hyperlink ref="G92" r:id="rId7" display="provider1@mail.com" xr:uid="{937EC5DF-90F9-A445-BE36-34A7E58F7CF5}"/>
    <hyperlink ref="G93:G95" r:id="rId8" display="provider1@mail.com" xr:uid="{A5A7459D-56FD-904E-891C-B5D02F3A5A80}"/>
  </hyperlinks>
  <pageMargins left="0.7" right="0.7" top="0.75" bottom="0.75" header="0.3" footer="0.3"/>
  <pageSetup orientation="portrait" horizontalDpi="300" verticalDpi="3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Tuan-Anh Ho</dc:creator>
  <cp:lastModifiedBy>Tuan-Anh Ho</cp:lastModifiedBy>
  <dcterms:created xsi:type="dcterms:W3CDTF">2026-04-30T07:39:51Z</dcterms:created>
  <dcterms:modified xsi:type="dcterms:W3CDTF">2026-05-01T02:33:05Z</dcterms:modified>
</cp:coreProperties>
</file>